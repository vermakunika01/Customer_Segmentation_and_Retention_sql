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OneDrive\Kunika Files\SQL Projects\SQL_Analysis_Project1\"/>
    </mc:Choice>
  </mc:AlternateContent>
  <xr:revisionPtr revIDLastSave="0" documentId="13_ncr:1_{D0661ED3-7DBE-416F-9393-F5893F7B1EC1}" xr6:coauthVersionLast="47" xr6:coauthVersionMax="47" xr10:uidLastSave="{00000000-0000-0000-0000-000000000000}"/>
  <bookViews>
    <workbookView xWindow="-108" yWindow="-108" windowWidth="23256" windowHeight="12456" xr2:uid="{BB1B822C-5DE6-40D4-B662-10A137C7471D}"/>
  </bookViews>
  <sheets>
    <sheet name="test" sheetId="1" r:id="rId1"/>
  </sheets>
  <definedNames>
    <definedName name="_xlnm._FilterDatabase" localSheetId="0" hidden="1">test!$M$2:$O$2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3" i="1"/>
  <c r="J23" i="1"/>
  <c r="J24" i="1"/>
  <c r="J25" i="1"/>
  <c r="J26" i="1"/>
  <c r="J27" i="1"/>
  <c r="J22" i="1"/>
  <c r="J17" i="1"/>
  <c r="J18" i="1"/>
  <c r="J19" i="1"/>
  <c r="J20" i="1"/>
  <c r="J21" i="1"/>
  <c r="J16" i="1"/>
  <c r="J11" i="1"/>
  <c r="J12" i="1"/>
  <c r="J13" i="1"/>
  <c r="J14" i="1"/>
  <c r="J15" i="1"/>
  <c r="J10" i="1"/>
  <c r="J4" i="1"/>
  <c r="J5" i="1"/>
  <c r="J6" i="1"/>
  <c r="J7" i="1"/>
  <c r="J8" i="1"/>
  <c r="J9" i="1"/>
  <c r="J3" i="1"/>
</calcChain>
</file>

<file path=xl/sharedStrings.xml><?xml version="1.0" encoding="utf-8"?>
<sst xmlns="http://schemas.openxmlformats.org/spreadsheetml/2006/main" count="272" uniqueCount="63">
  <si>
    <t>PRICE RANGE OF PRODUCTS</t>
  </si>
  <si>
    <t>AVERAGE CUSTOMER LIFETIME ACROSS COUNTRIES</t>
  </si>
  <si>
    <t>cost_range</t>
  </si>
  <si>
    <t>total_products</t>
  </si>
  <si>
    <t>Lifespan</t>
  </si>
  <si>
    <t>Country</t>
  </si>
  <si>
    <t>no_of_customers</t>
  </si>
  <si>
    <t>Below 100 $</t>
  </si>
  <si>
    <t>0-12 months</t>
  </si>
  <si>
    <t>France</t>
  </si>
  <si>
    <t>United States</t>
  </si>
  <si>
    <t>100-500 $</t>
  </si>
  <si>
    <t>United Kingdom</t>
  </si>
  <si>
    <t>500-1000 $</t>
  </si>
  <si>
    <t>Canada</t>
  </si>
  <si>
    <t>Germany</t>
  </si>
  <si>
    <t>Above 1000 $</t>
  </si>
  <si>
    <t>Australia</t>
  </si>
  <si>
    <t>n/a</t>
  </si>
  <si>
    <t>1-2 years</t>
  </si>
  <si>
    <t>2-3 years</t>
  </si>
  <si>
    <t>Upto 4 years</t>
  </si>
  <si>
    <t>Big Spender Short-Term</t>
  </si>
  <si>
    <t>Casual</t>
  </si>
  <si>
    <t>One-time</t>
  </si>
  <si>
    <t>Customer_Category</t>
  </si>
  <si>
    <t>rank_per_country</t>
  </si>
  <si>
    <t>CUSTOMER SEGMENTS ACROSS COUNTRIES</t>
  </si>
  <si>
    <t>VIP</t>
  </si>
  <si>
    <t>pct_rank_orders</t>
  </si>
  <si>
    <t>Avg_lifespan (months)</t>
  </si>
  <si>
    <t>total_sales_category</t>
  </si>
  <si>
    <t>% customers</t>
  </si>
  <si>
    <t>% sales</t>
  </si>
  <si>
    <t>CUSTOMER_CATEGORY - CORE METRICS</t>
  </si>
  <si>
    <t>avg_sales</t>
  </si>
  <si>
    <t>median_sales</t>
  </si>
  <si>
    <t>Components</t>
  </si>
  <si>
    <t>Clothing</t>
  </si>
  <si>
    <t>Bikes</t>
  </si>
  <si>
    <t>Accessories</t>
  </si>
  <si>
    <t>Product Category</t>
  </si>
  <si>
    <t>total_sales</t>
  </si>
  <si>
    <t>early_churn</t>
  </si>
  <si>
    <t>% early churn (&lt;= 3 months)</t>
  </si>
  <si>
    <t xml:space="preserve">Meaning: 57% of US customers are Short-term Big Spenders </t>
  </si>
  <si>
    <t>% sales_product_category</t>
  </si>
  <si>
    <t>% sales_cust_category</t>
  </si>
  <si>
    <t>Meaning: Among the short-term big spenders, 92% of the sales is driven by Bikes</t>
  </si>
  <si>
    <t>Meaning: Among all the bike buyers, 32% sales comes from short-term big spenders</t>
  </si>
  <si>
    <t>Meaning: 74% of the Clothing sales is contributed by short-term spenders</t>
  </si>
  <si>
    <t>Meaning: VIP users are the largest segment of Bike buyers in terms of revenue</t>
  </si>
  <si>
    <t># of avg_orders</t>
  </si>
  <si>
    <t>% of cust (wrt total base)</t>
  </si>
  <si>
    <t>Agg1</t>
  </si>
  <si>
    <t>Agg2</t>
  </si>
  <si>
    <t>Grouping Key 1</t>
  </si>
  <si>
    <t>Grouping Key 2</t>
  </si>
  <si>
    <t>Window function (over cust cat) + Agg</t>
  </si>
  <si>
    <t>Window function (over prod cat) + Agg</t>
  </si>
  <si>
    <t>NA</t>
  </si>
  <si>
    <t>% of product portfolio</t>
  </si>
  <si>
    <t>total_products_sold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</si>
</sst>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6" fillId="33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34" borderId="0" xfId="0" applyFill="1"/>
    <xf numFmtId="9" fontId="0" fillId="0" borderId="0" xfId="0" applyNumberFormat="1"/>
    <xf numFmtId="2" fontId="0" fillId="0" borderId="0" xfId="0" applyNumberFormat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0" borderId="0" xfId="0" applyAlignment="1">
      <alignment vertical="center" wrapText="1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CF1F-09F5-45F4-B93B-E3A07C9DCCBD}">
  <dimension ref="A1:AG29"/>
  <sheetViews>
    <sheetView tabSelected="1" topLeftCell="S1" zoomScale="70" zoomScaleNormal="70" workbookViewId="0">
      <selection activeCell="AQ1" sqref="AQ1"/>
    </sheetView>
  </sheetViews>
  <sheetFormatPr defaultRowHeight="14.4" x14ac:dyDescent="0.3"/>
  <cols>
    <col min="1" max="1" width="16.77734375" customWidth="1"/>
    <col min="2" max="2" width="15" customWidth="1"/>
    <col min="3" max="3" width="14.44140625" customWidth="1"/>
    <col min="4" max="4" width="14.77734375" customWidth="1"/>
    <col min="7" max="7" width="15.109375" customWidth="1"/>
    <col min="8" max="8" width="14.33203125" customWidth="1"/>
    <col min="9" max="9" width="15.44140625" bestFit="1" customWidth="1"/>
    <col min="10" max="11" width="15.44140625" customWidth="1"/>
    <col min="13" max="13" width="18.77734375" customWidth="1"/>
    <col min="14" max="14" width="13.77734375" customWidth="1"/>
    <col min="15" max="15" width="15.44140625" bestFit="1" customWidth="1"/>
    <col min="18" max="18" width="23.109375" customWidth="1"/>
    <col min="19" max="19" width="16.33203125" customWidth="1"/>
    <col min="20" max="20" width="14.6640625" customWidth="1"/>
    <col min="22" max="22" width="11" hidden="1" customWidth="1"/>
    <col min="23" max="23" width="0" hidden="1" customWidth="1"/>
    <col min="25" max="25" width="21.77734375" customWidth="1"/>
    <col min="26" max="26" width="16.5546875" customWidth="1"/>
    <col min="27" max="27" width="13.21875" customWidth="1"/>
    <col min="28" max="28" width="14.21875" customWidth="1"/>
    <col min="29" max="29" width="18.77734375" customWidth="1"/>
    <col min="30" max="30" width="19.33203125" customWidth="1"/>
    <col min="31" max="32" width="14.109375" customWidth="1"/>
    <col min="33" max="33" width="17.77734375" customWidth="1"/>
  </cols>
  <sheetData>
    <row r="1" spans="1:33" x14ac:dyDescent="0.3">
      <c r="A1" s="1" t="s">
        <v>0</v>
      </c>
      <c r="B1" s="1"/>
      <c r="G1" s="1" t="s">
        <v>1</v>
      </c>
      <c r="H1" s="1"/>
      <c r="I1" s="1"/>
      <c r="J1" s="1"/>
      <c r="K1" s="1"/>
      <c r="R1" s="1" t="s">
        <v>27</v>
      </c>
      <c r="Y1" s="1" t="s">
        <v>34</v>
      </c>
    </row>
    <row r="2" spans="1:33" s="3" customFormat="1" ht="30.6" customHeight="1" x14ac:dyDescent="0.3">
      <c r="A2" s="2" t="s">
        <v>2</v>
      </c>
      <c r="B2" s="2" t="s">
        <v>3</v>
      </c>
      <c r="C2" s="2" t="s">
        <v>61</v>
      </c>
      <c r="G2" s="2" t="s">
        <v>4</v>
      </c>
      <c r="H2" s="2" t="s">
        <v>5</v>
      </c>
      <c r="I2" s="2" t="s">
        <v>6</v>
      </c>
      <c r="J2" s="2"/>
      <c r="K2" s="2" t="s">
        <v>53</v>
      </c>
      <c r="M2" s="2" t="s">
        <v>5</v>
      </c>
      <c r="N2" s="2" t="s">
        <v>4</v>
      </c>
      <c r="O2" s="2" t="s">
        <v>6</v>
      </c>
      <c r="R2" s="2" t="s">
        <v>25</v>
      </c>
      <c r="S2" s="2" t="s">
        <v>5</v>
      </c>
      <c r="T2" s="2" t="s">
        <v>6</v>
      </c>
      <c r="U2" s="2" t="s">
        <v>26</v>
      </c>
      <c r="V2" s="2" t="s">
        <v>29</v>
      </c>
      <c r="Y2" s="2" t="s">
        <v>25</v>
      </c>
      <c r="Z2" s="2" t="s">
        <v>6</v>
      </c>
      <c r="AA2" s="2" t="s">
        <v>32</v>
      </c>
      <c r="AB2" s="2" t="s">
        <v>52</v>
      </c>
      <c r="AC2" s="2" t="s">
        <v>31</v>
      </c>
      <c r="AD2" s="2" t="s">
        <v>33</v>
      </c>
      <c r="AE2" s="2" t="s">
        <v>35</v>
      </c>
      <c r="AF2" s="2" t="s">
        <v>36</v>
      </c>
      <c r="AG2" s="2" t="s">
        <v>30</v>
      </c>
    </row>
    <row r="3" spans="1:33" x14ac:dyDescent="0.3">
      <c r="A3" t="s">
        <v>7</v>
      </c>
      <c r="B3">
        <v>110</v>
      </c>
      <c r="C3" s="5">
        <f>B3/SUM($B$3:$B$6)</f>
        <v>0.3728813559322034</v>
      </c>
      <c r="G3" t="s">
        <v>8</v>
      </c>
      <c r="H3" t="s">
        <v>9</v>
      </c>
      <c r="I3">
        <v>1351</v>
      </c>
      <c r="J3" s="5">
        <f>I3/SUM($I$3:$I$9)</f>
        <v>0.1152828739653554</v>
      </c>
      <c r="K3" s="5">
        <f>I3/SUM($I$3:$I$27)</f>
        <v>7.3090240207747237E-2</v>
      </c>
      <c r="M3" t="s">
        <v>17</v>
      </c>
      <c r="N3" t="s">
        <v>21</v>
      </c>
      <c r="O3">
        <v>2475</v>
      </c>
      <c r="R3" t="s">
        <v>22</v>
      </c>
      <c r="S3" s="4" t="s">
        <v>10</v>
      </c>
      <c r="T3">
        <v>4273</v>
      </c>
      <c r="U3">
        <v>1</v>
      </c>
      <c r="V3">
        <v>57.11</v>
      </c>
      <c r="W3" t="s">
        <v>45</v>
      </c>
      <c r="Y3" t="s">
        <v>28</v>
      </c>
      <c r="Z3">
        <v>3656</v>
      </c>
      <c r="AA3" s="5">
        <v>0.19779268556589483</v>
      </c>
      <c r="AB3">
        <v>4.4800000000000004</v>
      </c>
      <c r="AC3">
        <v>17561832</v>
      </c>
      <c r="AD3" s="11">
        <v>0.59823144986161381</v>
      </c>
      <c r="AE3" s="6">
        <v>4803.5645514223097</v>
      </c>
      <c r="AF3">
        <v>4698</v>
      </c>
      <c r="AG3">
        <v>20.85</v>
      </c>
    </row>
    <row r="4" spans="1:33" x14ac:dyDescent="0.3">
      <c r="A4" t="s">
        <v>11</v>
      </c>
      <c r="B4">
        <v>101</v>
      </c>
      <c r="C4" s="5">
        <f t="shared" ref="C4:C6" si="0">B4/SUM($B$3:$B$6)</f>
        <v>0.34237288135593219</v>
      </c>
      <c r="G4" t="s">
        <v>8</v>
      </c>
      <c r="H4" t="s">
        <v>12</v>
      </c>
      <c r="I4">
        <v>1073</v>
      </c>
      <c r="J4" s="5">
        <f t="shared" ref="J4:J9" si="1">I4/SUM($I$3:$I$9)</f>
        <v>9.1560713371448083E-2</v>
      </c>
      <c r="K4" s="5">
        <f t="shared" ref="K4:K27" si="2">I4/SUM($I$3:$I$27)</f>
        <v>5.8050205583207101E-2</v>
      </c>
      <c r="M4" t="s">
        <v>17</v>
      </c>
      <c r="N4" t="s">
        <v>8</v>
      </c>
      <c r="O4">
        <v>1052</v>
      </c>
      <c r="R4" t="s">
        <v>22</v>
      </c>
      <c r="S4" s="4" t="s">
        <v>17</v>
      </c>
      <c r="T4">
        <v>1358</v>
      </c>
      <c r="U4">
        <v>2</v>
      </c>
      <c r="V4">
        <v>37.82</v>
      </c>
      <c r="Y4" t="s">
        <v>22</v>
      </c>
      <c r="Z4">
        <v>9835</v>
      </c>
      <c r="AA4" s="5">
        <v>0.53208180047608744</v>
      </c>
      <c r="AB4">
        <v>3.63</v>
      </c>
      <c r="AC4">
        <v>9788179</v>
      </c>
      <c r="AD4" s="11">
        <v>0.33342743027464339</v>
      </c>
      <c r="AE4" s="6">
        <v>995.23934926283596</v>
      </c>
      <c r="AF4">
        <v>190</v>
      </c>
      <c r="AG4">
        <v>2.0099999999999998</v>
      </c>
    </row>
    <row r="5" spans="1:33" x14ac:dyDescent="0.3">
      <c r="A5" t="s">
        <v>13</v>
      </c>
      <c r="B5">
        <v>45</v>
      </c>
      <c r="C5" s="5">
        <f t="shared" si="0"/>
        <v>0.15254237288135594</v>
      </c>
      <c r="G5" t="s">
        <v>8</v>
      </c>
      <c r="H5" t="s">
        <v>14</v>
      </c>
      <c r="I5">
        <v>854</v>
      </c>
      <c r="J5" s="5">
        <f t="shared" si="1"/>
        <v>7.287311204027648E-2</v>
      </c>
      <c r="K5" s="5">
        <f t="shared" si="2"/>
        <v>4.6202120753083747E-2</v>
      </c>
      <c r="M5" t="s">
        <v>17</v>
      </c>
      <c r="N5" t="s">
        <v>19</v>
      </c>
      <c r="O5">
        <v>33</v>
      </c>
      <c r="R5" t="s">
        <v>22</v>
      </c>
      <c r="S5" t="s">
        <v>12</v>
      </c>
      <c r="T5">
        <v>1090</v>
      </c>
      <c r="U5">
        <v>3</v>
      </c>
      <c r="V5">
        <v>56.98</v>
      </c>
      <c r="Y5" t="s">
        <v>24</v>
      </c>
      <c r="Z5">
        <v>2492</v>
      </c>
      <c r="AA5" s="5">
        <v>0.13481930318112961</v>
      </c>
      <c r="AB5">
        <v>1</v>
      </c>
      <c r="AC5">
        <v>1935606</v>
      </c>
      <c r="AD5" s="11">
        <v>6.5935056418990848E-2</v>
      </c>
      <c r="AE5" s="6">
        <v>776.72792937399595</v>
      </c>
      <c r="AF5">
        <v>35</v>
      </c>
      <c r="AG5">
        <v>0</v>
      </c>
    </row>
    <row r="6" spans="1:33" x14ac:dyDescent="0.3">
      <c r="A6" t="s">
        <v>16</v>
      </c>
      <c r="B6">
        <v>39</v>
      </c>
      <c r="C6" s="5">
        <f t="shared" si="0"/>
        <v>0.13220338983050847</v>
      </c>
      <c r="G6" t="s">
        <v>8</v>
      </c>
      <c r="H6" t="s">
        <v>17</v>
      </c>
      <c r="I6">
        <v>1052</v>
      </c>
      <c r="J6" s="5">
        <f t="shared" si="1"/>
        <v>8.9768751599965863E-2</v>
      </c>
      <c r="K6" s="5">
        <f t="shared" si="2"/>
        <v>5.6914087859770611E-2</v>
      </c>
      <c r="M6" t="s">
        <v>17</v>
      </c>
      <c r="N6" t="s">
        <v>20</v>
      </c>
      <c r="O6">
        <v>31</v>
      </c>
      <c r="R6" t="s">
        <v>22</v>
      </c>
      <c r="S6" t="s">
        <v>9</v>
      </c>
      <c r="T6">
        <v>1004</v>
      </c>
      <c r="U6">
        <v>4</v>
      </c>
      <c r="V6">
        <v>55.47</v>
      </c>
      <c r="Y6" t="s">
        <v>23</v>
      </c>
      <c r="Z6">
        <v>2501</v>
      </c>
      <c r="AA6" s="5">
        <v>0.13530621077688812</v>
      </c>
      <c r="AB6">
        <v>2.33</v>
      </c>
      <c r="AC6">
        <v>70633</v>
      </c>
      <c r="AD6" s="11">
        <v>2.4060634447519691E-3</v>
      </c>
      <c r="AE6" s="6">
        <v>28.241903238704499</v>
      </c>
      <c r="AF6">
        <v>29</v>
      </c>
      <c r="AG6">
        <v>0.39</v>
      </c>
    </row>
    <row r="7" spans="1:33" x14ac:dyDescent="0.3">
      <c r="G7" t="s">
        <v>8</v>
      </c>
      <c r="H7" t="s">
        <v>15</v>
      </c>
      <c r="I7">
        <v>1279</v>
      </c>
      <c r="J7" s="5">
        <f t="shared" si="1"/>
        <v>0.10913900503455927</v>
      </c>
      <c r="K7" s="5">
        <f t="shared" si="2"/>
        <v>6.9194979441679294E-2</v>
      </c>
      <c r="M7" t="s">
        <v>14</v>
      </c>
      <c r="N7" t="s">
        <v>8</v>
      </c>
      <c r="O7">
        <v>854</v>
      </c>
      <c r="R7" t="s">
        <v>22</v>
      </c>
      <c r="S7" t="s">
        <v>15</v>
      </c>
      <c r="T7">
        <v>987</v>
      </c>
      <c r="U7">
        <v>5</v>
      </c>
      <c r="V7">
        <v>55.45</v>
      </c>
    </row>
    <row r="8" spans="1:33" ht="20.399999999999999" customHeight="1" x14ac:dyDescent="0.3">
      <c r="A8" s="2" t="s">
        <v>41</v>
      </c>
      <c r="B8" s="2" t="s">
        <v>2</v>
      </c>
      <c r="C8" s="2" t="s">
        <v>3</v>
      </c>
      <c r="G8" t="s">
        <v>8</v>
      </c>
      <c r="H8" t="s">
        <v>10</v>
      </c>
      <c r="I8">
        <v>5773</v>
      </c>
      <c r="J8" s="5">
        <f t="shared" si="1"/>
        <v>0.49261882413175184</v>
      </c>
      <c r="K8" s="5">
        <f t="shared" si="2"/>
        <v>0.3123241722570872</v>
      </c>
      <c r="M8" t="s">
        <v>14</v>
      </c>
      <c r="N8" t="s">
        <v>21</v>
      </c>
      <c r="O8">
        <v>694</v>
      </c>
      <c r="R8" t="s">
        <v>22</v>
      </c>
      <c r="S8" t="s">
        <v>14</v>
      </c>
      <c r="T8">
        <v>885</v>
      </c>
      <c r="U8">
        <v>6</v>
      </c>
      <c r="V8">
        <v>56.33</v>
      </c>
      <c r="Y8" s="3"/>
      <c r="Z8" s="3"/>
      <c r="AA8" s="3"/>
      <c r="AB8" s="3"/>
      <c r="AC8" s="3"/>
      <c r="AD8" s="3"/>
    </row>
    <row r="9" spans="1:33" ht="28.8" x14ac:dyDescent="0.3">
      <c r="A9" t="s">
        <v>60</v>
      </c>
      <c r="B9" t="s">
        <v>7</v>
      </c>
      <c r="C9">
        <v>7</v>
      </c>
      <c r="G9" t="s">
        <v>8</v>
      </c>
      <c r="H9" t="s">
        <v>18</v>
      </c>
      <c r="I9">
        <v>337</v>
      </c>
      <c r="J9" s="5">
        <f t="shared" si="1"/>
        <v>2.8756719856643059E-2</v>
      </c>
      <c r="K9" s="5">
        <f t="shared" si="2"/>
        <v>1.8231984418956935E-2</v>
      </c>
      <c r="M9" t="s">
        <v>14</v>
      </c>
      <c r="N9" t="s">
        <v>20</v>
      </c>
      <c r="O9">
        <v>12</v>
      </c>
      <c r="R9" t="s">
        <v>22</v>
      </c>
      <c r="S9" t="s">
        <v>18</v>
      </c>
      <c r="T9">
        <v>238</v>
      </c>
      <c r="U9">
        <v>7</v>
      </c>
      <c r="V9">
        <v>70.62</v>
      </c>
      <c r="Y9" s="2" t="s">
        <v>25</v>
      </c>
      <c r="Z9" s="2" t="s">
        <v>6</v>
      </c>
      <c r="AA9" s="2" t="s">
        <v>43</v>
      </c>
      <c r="AB9" s="2" t="s">
        <v>44</v>
      </c>
      <c r="AC9" s="5"/>
    </row>
    <row r="10" spans="1:33" x14ac:dyDescent="0.3">
      <c r="A10" t="s">
        <v>37</v>
      </c>
      <c r="B10" t="s">
        <v>7</v>
      </c>
      <c r="C10">
        <v>39</v>
      </c>
      <c r="G10" t="s">
        <v>19</v>
      </c>
      <c r="H10" t="s">
        <v>10</v>
      </c>
      <c r="I10">
        <v>27</v>
      </c>
      <c r="J10" s="5">
        <f>I10/SUM($I$10:$I$15)</f>
        <v>0.30681818181818182</v>
      </c>
      <c r="K10" s="5">
        <f t="shared" si="2"/>
        <v>1.4607227872754816E-3</v>
      </c>
      <c r="M10" t="s">
        <v>14</v>
      </c>
      <c r="N10" t="s">
        <v>19</v>
      </c>
      <c r="O10">
        <v>11</v>
      </c>
      <c r="R10" t="s">
        <v>23</v>
      </c>
      <c r="S10" s="4" t="s">
        <v>10</v>
      </c>
      <c r="T10">
        <v>889</v>
      </c>
      <c r="U10">
        <v>1</v>
      </c>
      <c r="V10">
        <v>11.88</v>
      </c>
      <c r="Y10" t="s">
        <v>22</v>
      </c>
      <c r="Z10">
        <v>9835</v>
      </c>
      <c r="AA10">
        <v>7701</v>
      </c>
      <c r="AB10">
        <v>78</v>
      </c>
      <c r="AC10" s="5"/>
    </row>
    <row r="11" spans="1:33" x14ac:dyDescent="0.3">
      <c r="A11" t="s">
        <v>37</v>
      </c>
      <c r="B11" t="s">
        <v>11</v>
      </c>
      <c r="C11">
        <v>61</v>
      </c>
      <c r="G11" t="s">
        <v>19</v>
      </c>
      <c r="H11" t="s">
        <v>14</v>
      </c>
      <c r="I11">
        <v>11</v>
      </c>
      <c r="J11" s="5">
        <f t="shared" ref="J11:J15" si="3">I11/SUM($I$10:$I$15)</f>
        <v>0.125</v>
      </c>
      <c r="K11" s="5">
        <f t="shared" si="2"/>
        <v>5.9510928370482582E-4</v>
      </c>
      <c r="M11" t="s">
        <v>9</v>
      </c>
      <c r="N11" t="s">
        <v>8</v>
      </c>
      <c r="O11">
        <v>1351</v>
      </c>
      <c r="R11" t="s">
        <v>23</v>
      </c>
      <c r="S11" s="4" t="s">
        <v>17</v>
      </c>
      <c r="T11">
        <v>596</v>
      </c>
      <c r="U11">
        <v>2</v>
      </c>
      <c r="V11">
        <v>16.600000000000001</v>
      </c>
      <c r="Y11" t="s">
        <v>23</v>
      </c>
      <c r="Z11">
        <v>2501</v>
      </c>
      <c r="AA11">
        <v>2389</v>
      </c>
      <c r="AB11">
        <v>95</v>
      </c>
    </row>
    <row r="12" spans="1:33" x14ac:dyDescent="0.3">
      <c r="A12" t="s">
        <v>37</v>
      </c>
      <c r="B12" t="s">
        <v>13</v>
      </c>
      <c r="C12">
        <v>27</v>
      </c>
      <c r="G12" t="s">
        <v>19</v>
      </c>
      <c r="H12" t="s">
        <v>17</v>
      </c>
      <c r="I12">
        <v>33</v>
      </c>
      <c r="J12" s="5">
        <f t="shared" si="3"/>
        <v>0.375</v>
      </c>
      <c r="K12" s="5">
        <f t="shared" si="2"/>
        <v>1.7853278511144775E-3</v>
      </c>
      <c r="M12" t="s">
        <v>9</v>
      </c>
      <c r="N12" t="s">
        <v>21</v>
      </c>
      <c r="O12">
        <v>456</v>
      </c>
      <c r="R12" t="s">
        <v>23</v>
      </c>
      <c r="S12" t="s">
        <v>12</v>
      </c>
      <c r="T12">
        <v>276</v>
      </c>
      <c r="U12">
        <v>3</v>
      </c>
      <c r="V12">
        <v>14.43</v>
      </c>
      <c r="Y12" t="s">
        <v>24</v>
      </c>
      <c r="Z12">
        <v>2492</v>
      </c>
      <c r="AA12">
        <v>2491</v>
      </c>
      <c r="AB12">
        <v>99</v>
      </c>
    </row>
    <row r="13" spans="1:33" x14ac:dyDescent="0.3">
      <c r="A13" t="s">
        <v>38</v>
      </c>
      <c r="B13" t="s">
        <v>7</v>
      </c>
      <c r="C13">
        <v>35</v>
      </c>
      <c r="G13" t="s">
        <v>19</v>
      </c>
      <c r="H13" t="s">
        <v>9</v>
      </c>
      <c r="I13">
        <v>2</v>
      </c>
      <c r="J13" s="5">
        <f t="shared" si="3"/>
        <v>2.2727272727272728E-2</v>
      </c>
      <c r="K13" s="5">
        <f t="shared" si="2"/>
        <v>1.0820168794633196E-4</v>
      </c>
      <c r="M13" t="s">
        <v>9</v>
      </c>
      <c r="N13" t="s">
        <v>19</v>
      </c>
      <c r="O13">
        <v>2</v>
      </c>
      <c r="R13" t="s">
        <v>23</v>
      </c>
      <c r="S13" t="s">
        <v>14</v>
      </c>
      <c r="T13">
        <v>245</v>
      </c>
      <c r="U13">
        <v>4</v>
      </c>
      <c r="V13">
        <v>15.6</v>
      </c>
      <c r="Y13" t="s">
        <v>28</v>
      </c>
      <c r="Z13">
        <v>3656</v>
      </c>
      <c r="AA13">
        <v>0</v>
      </c>
      <c r="AB13">
        <v>0</v>
      </c>
    </row>
    <row r="14" spans="1:33" x14ac:dyDescent="0.3">
      <c r="A14" t="s">
        <v>39</v>
      </c>
      <c r="B14" t="s">
        <v>13</v>
      </c>
      <c r="C14">
        <v>18</v>
      </c>
      <c r="G14" t="s">
        <v>19</v>
      </c>
      <c r="H14" t="s">
        <v>12</v>
      </c>
      <c r="I14">
        <v>14</v>
      </c>
      <c r="J14" s="5">
        <f t="shared" si="3"/>
        <v>0.15909090909090909</v>
      </c>
      <c r="K14" s="5">
        <f t="shared" si="2"/>
        <v>7.5741181562432377E-4</v>
      </c>
      <c r="M14" t="s">
        <v>9</v>
      </c>
      <c r="N14" t="s">
        <v>20</v>
      </c>
      <c r="O14">
        <v>1</v>
      </c>
      <c r="R14" t="s">
        <v>23</v>
      </c>
      <c r="S14" t="s">
        <v>9</v>
      </c>
      <c r="T14">
        <v>219</v>
      </c>
      <c r="U14">
        <v>5</v>
      </c>
      <c r="V14">
        <v>12.1</v>
      </c>
    </row>
    <row r="15" spans="1:33" ht="43.2" x14ac:dyDescent="0.3">
      <c r="A15" t="s">
        <v>39</v>
      </c>
      <c r="B15" t="s">
        <v>11</v>
      </c>
      <c r="C15">
        <v>40</v>
      </c>
      <c r="G15" t="s">
        <v>19</v>
      </c>
      <c r="H15" t="s">
        <v>15</v>
      </c>
      <c r="I15">
        <v>1</v>
      </c>
      <c r="J15" s="5">
        <f t="shared" si="3"/>
        <v>1.1363636363636364E-2</v>
      </c>
      <c r="K15" s="5">
        <f t="shared" si="2"/>
        <v>5.4100843973165978E-5</v>
      </c>
      <c r="M15" t="s">
        <v>15</v>
      </c>
      <c r="N15" t="s">
        <v>8</v>
      </c>
      <c r="O15">
        <v>1279</v>
      </c>
      <c r="R15" t="s">
        <v>23</v>
      </c>
      <c r="S15" t="s">
        <v>15</v>
      </c>
      <c r="T15">
        <v>215</v>
      </c>
      <c r="U15">
        <v>6</v>
      </c>
      <c r="V15">
        <v>12.08</v>
      </c>
      <c r="Y15" s="10" t="s">
        <v>56</v>
      </c>
      <c r="Z15" s="10" t="s">
        <v>57</v>
      </c>
      <c r="AA15" s="10" t="s">
        <v>54</v>
      </c>
      <c r="AB15" s="10" t="s">
        <v>55</v>
      </c>
      <c r="AC15" s="10" t="s">
        <v>58</v>
      </c>
      <c r="AD15" s="10" t="s">
        <v>59</v>
      </c>
    </row>
    <row r="16" spans="1:33" ht="43.2" x14ac:dyDescent="0.3">
      <c r="A16" t="s">
        <v>39</v>
      </c>
      <c r="B16" t="s">
        <v>16</v>
      </c>
      <c r="C16">
        <v>39</v>
      </c>
      <c r="G16" t="s">
        <v>20</v>
      </c>
      <c r="H16" t="s">
        <v>15</v>
      </c>
      <c r="I16">
        <v>1</v>
      </c>
      <c r="J16" s="5">
        <f>I16/SUM($I$16:$I$21)</f>
        <v>1.1764705882352941E-2</v>
      </c>
      <c r="K16" s="5">
        <f t="shared" si="2"/>
        <v>5.4100843973165978E-5</v>
      </c>
      <c r="M16" t="s">
        <v>15</v>
      </c>
      <c r="N16" t="s">
        <v>21</v>
      </c>
      <c r="O16">
        <v>499</v>
      </c>
      <c r="R16" t="s">
        <v>23</v>
      </c>
      <c r="S16" t="s">
        <v>18</v>
      </c>
      <c r="T16">
        <v>61</v>
      </c>
      <c r="U16">
        <v>7</v>
      </c>
      <c r="V16">
        <v>18.100000000000001</v>
      </c>
      <c r="Y16" s="2" t="s">
        <v>25</v>
      </c>
      <c r="Z16" s="2" t="s">
        <v>41</v>
      </c>
      <c r="AA16" s="2" t="s">
        <v>3</v>
      </c>
      <c r="AB16" s="2" t="s">
        <v>42</v>
      </c>
      <c r="AC16" s="2" t="s">
        <v>47</v>
      </c>
      <c r="AD16" s="2" t="s">
        <v>46</v>
      </c>
    </row>
    <row r="17" spans="1:31" x14ac:dyDescent="0.3">
      <c r="A17" t="s">
        <v>40</v>
      </c>
      <c r="B17" t="s">
        <v>7</v>
      </c>
      <c r="C17">
        <v>29</v>
      </c>
      <c r="G17" t="s">
        <v>20</v>
      </c>
      <c r="H17" t="s">
        <v>12</v>
      </c>
      <c r="I17">
        <v>17</v>
      </c>
      <c r="J17" s="5">
        <f t="shared" ref="J17:J21" si="4">I17/SUM($I$16:$I$21)</f>
        <v>0.2</v>
      </c>
      <c r="K17" s="5">
        <f t="shared" si="2"/>
        <v>9.1971434754382171E-4</v>
      </c>
      <c r="M17" t="s">
        <v>15</v>
      </c>
      <c r="N17" t="s">
        <v>19</v>
      </c>
      <c r="O17">
        <v>1</v>
      </c>
      <c r="R17" t="s">
        <v>24</v>
      </c>
      <c r="S17" s="4" t="s">
        <v>10</v>
      </c>
      <c r="T17">
        <v>1280</v>
      </c>
      <c r="U17">
        <v>1</v>
      </c>
      <c r="V17">
        <v>17.11</v>
      </c>
      <c r="Y17" t="s">
        <v>22</v>
      </c>
      <c r="Z17" t="s">
        <v>39</v>
      </c>
      <c r="AA17">
        <v>6048</v>
      </c>
      <c r="AB17">
        <v>9051354</v>
      </c>
      <c r="AC17" s="4">
        <v>92.47</v>
      </c>
      <c r="AD17" s="7">
        <v>31.97</v>
      </c>
      <c r="AE17" s="4" t="s">
        <v>48</v>
      </c>
    </row>
    <row r="18" spans="1:31" x14ac:dyDescent="0.3">
      <c r="G18" t="s">
        <v>20</v>
      </c>
      <c r="H18" t="s">
        <v>10</v>
      </c>
      <c r="I18">
        <v>23</v>
      </c>
      <c r="J18" s="5">
        <f t="shared" si="4"/>
        <v>0.27058823529411763</v>
      </c>
      <c r="K18" s="5">
        <f t="shared" si="2"/>
        <v>1.2443194113828176E-3</v>
      </c>
      <c r="M18" t="s">
        <v>15</v>
      </c>
      <c r="N18" t="s">
        <v>20</v>
      </c>
      <c r="O18">
        <v>1</v>
      </c>
      <c r="R18" t="s">
        <v>24</v>
      </c>
      <c r="S18" s="4" t="s">
        <v>9</v>
      </c>
      <c r="T18">
        <v>286</v>
      </c>
      <c r="U18">
        <v>2</v>
      </c>
      <c r="V18">
        <v>15.8</v>
      </c>
      <c r="Y18" t="s">
        <v>22</v>
      </c>
      <c r="Z18" t="s">
        <v>40</v>
      </c>
      <c r="AA18">
        <v>23104</v>
      </c>
      <c r="AB18">
        <v>485946</v>
      </c>
      <c r="AC18">
        <v>4.96</v>
      </c>
      <c r="AD18">
        <v>69.39</v>
      </c>
      <c r="AE18" s="7" t="s">
        <v>49</v>
      </c>
    </row>
    <row r="19" spans="1:31" x14ac:dyDescent="0.3">
      <c r="G19" t="s">
        <v>20</v>
      </c>
      <c r="H19" t="s">
        <v>14</v>
      </c>
      <c r="I19">
        <v>12</v>
      </c>
      <c r="J19" s="5">
        <f t="shared" si="4"/>
        <v>0.14117647058823529</v>
      </c>
      <c r="K19" s="5">
        <f t="shared" si="2"/>
        <v>6.4921012767799177E-4</v>
      </c>
      <c r="M19" t="s">
        <v>18</v>
      </c>
      <c r="N19" t="s">
        <v>8</v>
      </c>
      <c r="O19">
        <v>337</v>
      </c>
      <c r="R19" t="s">
        <v>24</v>
      </c>
      <c r="S19" t="s">
        <v>14</v>
      </c>
      <c r="T19">
        <v>274</v>
      </c>
      <c r="U19">
        <v>3</v>
      </c>
      <c r="V19">
        <v>17.440000000000001</v>
      </c>
      <c r="Y19" t="s">
        <v>22</v>
      </c>
      <c r="Z19" t="s">
        <v>38</v>
      </c>
      <c r="AA19">
        <v>6523</v>
      </c>
      <c r="AB19">
        <v>250879</v>
      </c>
      <c r="AC19">
        <v>2.56</v>
      </c>
      <c r="AD19" s="8">
        <v>73.849999999999994</v>
      </c>
      <c r="AE19" s="8" t="s">
        <v>50</v>
      </c>
    </row>
    <row r="20" spans="1:31" ht="28.8" x14ac:dyDescent="0.3">
      <c r="A20" s="2" t="s">
        <v>41</v>
      </c>
      <c r="B20" s="2" t="s">
        <v>2</v>
      </c>
      <c r="C20" s="2" t="s">
        <v>62</v>
      </c>
      <c r="D20" s="2" t="s">
        <v>42</v>
      </c>
      <c r="G20" t="s">
        <v>20</v>
      </c>
      <c r="H20" t="s">
        <v>17</v>
      </c>
      <c r="I20">
        <v>31</v>
      </c>
      <c r="J20" s="5">
        <f t="shared" si="4"/>
        <v>0.36470588235294116</v>
      </c>
      <c r="K20" s="5">
        <f t="shared" si="2"/>
        <v>1.6771261631681454E-3</v>
      </c>
      <c r="M20" t="s">
        <v>12</v>
      </c>
      <c r="N20" t="s">
        <v>8</v>
      </c>
      <c r="O20">
        <v>1073</v>
      </c>
      <c r="R20" t="s">
        <v>24</v>
      </c>
      <c r="S20" t="s">
        <v>15</v>
      </c>
      <c r="T20">
        <v>231</v>
      </c>
      <c r="U20">
        <v>4</v>
      </c>
      <c r="V20">
        <v>12.98</v>
      </c>
      <c r="Y20" t="s">
        <v>23</v>
      </c>
      <c r="Z20" t="s">
        <v>40</v>
      </c>
      <c r="AA20">
        <v>5333</v>
      </c>
      <c r="AB20">
        <v>62816</v>
      </c>
      <c r="AC20">
        <v>88.93</v>
      </c>
      <c r="AD20">
        <v>8.9700000000000006</v>
      </c>
    </row>
    <row r="21" spans="1:31" x14ac:dyDescent="0.3">
      <c r="A21" t="s">
        <v>40</v>
      </c>
      <c r="B21" t="s">
        <v>7</v>
      </c>
      <c r="C21">
        <v>36092</v>
      </c>
      <c r="D21">
        <v>700262</v>
      </c>
      <c r="G21" t="s">
        <v>20</v>
      </c>
      <c r="H21" t="s">
        <v>9</v>
      </c>
      <c r="I21">
        <v>1</v>
      </c>
      <c r="J21" s="5">
        <f t="shared" si="4"/>
        <v>1.1764705882352941E-2</v>
      </c>
      <c r="K21" s="5">
        <f t="shared" si="2"/>
        <v>5.4100843973165978E-5</v>
      </c>
      <c r="M21" t="s">
        <v>12</v>
      </c>
      <c r="N21" t="s">
        <v>21</v>
      </c>
      <c r="O21">
        <v>809</v>
      </c>
      <c r="R21" t="s">
        <v>24</v>
      </c>
      <c r="S21" t="s">
        <v>17</v>
      </c>
      <c r="T21">
        <v>208</v>
      </c>
      <c r="U21">
        <v>5</v>
      </c>
      <c r="V21">
        <v>5.79</v>
      </c>
      <c r="Y21" t="s">
        <v>23</v>
      </c>
      <c r="Z21" t="s">
        <v>38</v>
      </c>
      <c r="AA21">
        <v>501</v>
      </c>
      <c r="AB21">
        <v>7817</v>
      </c>
      <c r="AC21">
        <v>11.07</v>
      </c>
      <c r="AD21">
        <v>2.2999999999999998</v>
      </c>
    </row>
    <row r="22" spans="1:31" x14ac:dyDescent="0.3">
      <c r="A22" t="s">
        <v>39</v>
      </c>
      <c r="B22" t="s">
        <v>16</v>
      </c>
      <c r="C22">
        <v>9586</v>
      </c>
      <c r="D22">
        <v>23843170</v>
      </c>
      <c r="G22" t="s">
        <v>21</v>
      </c>
      <c r="H22" t="s">
        <v>10</v>
      </c>
      <c r="I22">
        <v>1659</v>
      </c>
      <c r="J22" s="5">
        <f>I22/SUM($I$22:$I$27)</f>
        <v>0.25166868932038833</v>
      </c>
      <c r="K22" s="5">
        <f t="shared" si="2"/>
        <v>8.9753300151482363E-2</v>
      </c>
      <c r="M22" t="s">
        <v>12</v>
      </c>
      <c r="N22" t="s">
        <v>20</v>
      </c>
      <c r="O22">
        <v>17</v>
      </c>
      <c r="R22" t="s">
        <v>24</v>
      </c>
      <c r="S22" t="s">
        <v>12</v>
      </c>
      <c r="T22">
        <v>175</v>
      </c>
      <c r="U22">
        <v>6</v>
      </c>
      <c r="V22">
        <v>9.15</v>
      </c>
      <c r="Y22" t="s">
        <v>24</v>
      </c>
      <c r="Z22" t="s">
        <v>39</v>
      </c>
      <c r="AA22">
        <v>916</v>
      </c>
      <c r="AB22">
        <v>1895370</v>
      </c>
      <c r="AC22">
        <v>97.92</v>
      </c>
      <c r="AD22">
        <v>6.69</v>
      </c>
    </row>
    <row r="23" spans="1:31" x14ac:dyDescent="0.3">
      <c r="A23" t="s">
        <v>39</v>
      </c>
      <c r="B23" t="s">
        <v>11</v>
      </c>
      <c r="C23">
        <v>3857</v>
      </c>
      <c r="D23">
        <v>2507162</v>
      </c>
      <c r="G23" t="s">
        <v>21</v>
      </c>
      <c r="H23" t="s">
        <v>15</v>
      </c>
      <c r="I23">
        <v>499</v>
      </c>
      <c r="J23" s="5">
        <f t="shared" ref="J23:J27" si="5">I23/SUM($I$22:$I$27)</f>
        <v>7.5697815533980584E-2</v>
      </c>
      <c r="K23" s="5">
        <f t="shared" si="2"/>
        <v>2.6996321142609823E-2</v>
      </c>
      <c r="M23" t="s">
        <v>12</v>
      </c>
      <c r="N23" t="s">
        <v>19</v>
      </c>
      <c r="O23">
        <v>14</v>
      </c>
      <c r="R23" t="s">
        <v>24</v>
      </c>
      <c r="S23" t="s">
        <v>18</v>
      </c>
      <c r="T23">
        <v>38</v>
      </c>
      <c r="U23">
        <v>7</v>
      </c>
      <c r="V23">
        <v>11.28</v>
      </c>
      <c r="Y23" t="s">
        <v>24</v>
      </c>
      <c r="Z23" t="s">
        <v>38</v>
      </c>
      <c r="AA23">
        <v>341</v>
      </c>
      <c r="AB23">
        <v>20382</v>
      </c>
      <c r="AC23">
        <v>1.05</v>
      </c>
      <c r="AD23">
        <v>6</v>
      </c>
    </row>
    <row r="24" spans="1:31" x14ac:dyDescent="0.3">
      <c r="A24" t="s">
        <v>39</v>
      </c>
      <c r="B24" t="s">
        <v>13</v>
      </c>
      <c r="C24">
        <v>1762</v>
      </c>
      <c r="D24">
        <v>1965940</v>
      </c>
      <c r="G24" t="s">
        <v>21</v>
      </c>
      <c r="H24" t="s">
        <v>17</v>
      </c>
      <c r="I24">
        <v>2475</v>
      </c>
      <c r="J24" s="5">
        <f t="shared" si="5"/>
        <v>0.37545509708737862</v>
      </c>
      <c r="K24" s="5">
        <f t="shared" si="2"/>
        <v>0.1338995888335858</v>
      </c>
      <c r="M24" t="s">
        <v>10</v>
      </c>
      <c r="N24" t="s">
        <v>8</v>
      </c>
      <c r="O24">
        <v>5773</v>
      </c>
      <c r="R24" t="s">
        <v>28</v>
      </c>
      <c r="S24" s="4" t="s">
        <v>17</v>
      </c>
      <c r="T24">
        <v>1429</v>
      </c>
      <c r="U24">
        <v>1</v>
      </c>
      <c r="V24">
        <v>39.79</v>
      </c>
      <c r="Y24" t="s">
        <v>24</v>
      </c>
      <c r="Z24" t="s">
        <v>40</v>
      </c>
      <c r="AA24">
        <v>1235</v>
      </c>
      <c r="AB24">
        <v>19854</v>
      </c>
      <c r="AC24">
        <v>1.03</v>
      </c>
      <c r="AD24">
        <v>2.84</v>
      </c>
    </row>
    <row r="25" spans="1:31" x14ac:dyDescent="0.3">
      <c r="A25" t="s">
        <v>38</v>
      </c>
      <c r="B25" t="s">
        <v>7</v>
      </c>
      <c r="C25">
        <v>9101</v>
      </c>
      <c r="D25">
        <v>339716</v>
      </c>
      <c r="G25" t="s">
        <v>21</v>
      </c>
      <c r="H25" t="s">
        <v>12</v>
      </c>
      <c r="I25">
        <v>809</v>
      </c>
      <c r="J25" s="5">
        <f t="shared" si="5"/>
        <v>0.12272451456310679</v>
      </c>
      <c r="K25" s="5">
        <f t="shared" si="2"/>
        <v>4.3767582774291276E-2</v>
      </c>
      <c r="M25" t="s">
        <v>10</v>
      </c>
      <c r="N25" t="s">
        <v>21</v>
      </c>
      <c r="O25">
        <v>1659</v>
      </c>
      <c r="R25" t="s">
        <v>28</v>
      </c>
      <c r="S25" s="4" t="s">
        <v>10</v>
      </c>
      <c r="T25">
        <v>1040</v>
      </c>
      <c r="U25">
        <v>2</v>
      </c>
      <c r="V25">
        <v>13.9</v>
      </c>
      <c r="Y25" t="s">
        <v>28</v>
      </c>
      <c r="Z25" t="s">
        <v>39</v>
      </c>
      <c r="AA25">
        <v>8241</v>
      </c>
      <c r="AB25">
        <v>17369548</v>
      </c>
      <c r="AC25">
        <v>98.91</v>
      </c>
      <c r="AD25" s="9">
        <v>61.34</v>
      </c>
      <c r="AE25" s="9" t="s">
        <v>51</v>
      </c>
    </row>
    <row r="26" spans="1:31" x14ac:dyDescent="0.3">
      <c r="G26" t="s">
        <v>21</v>
      </c>
      <c r="H26" t="s">
        <v>14</v>
      </c>
      <c r="I26">
        <v>694</v>
      </c>
      <c r="J26" s="5">
        <f t="shared" si="5"/>
        <v>0.10527912621359223</v>
      </c>
      <c r="K26" s="5">
        <f t="shared" si="2"/>
        <v>3.7545985717377189E-2</v>
      </c>
      <c r="M26" t="s">
        <v>10</v>
      </c>
      <c r="N26" t="s">
        <v>19</v>
      </c>
      <c r="O26">
        <v>27</v>
      </c>
      <c r="R26" t="s">
        <v>28</v>
      </c>
      <c r="S26" t="s">
        <v>12</v>
      </c>
      <c r="T26">
        <v>372</v>
      </c>
      <c r="U26">
        <v>3</v>
      </c>
      <c r="V26">
        <v>19.45</v>
      </c>
      <c r="Y26" t="s">
        <v>28</v>
      </c>
      <c r="Z26" t="s">
        <v>40</v>
      </c>
      <c r="AA26">
        <v>6420</v>
      </c>
      <c r="AB26">
        <v>131646</v>
      </c>
      <c r="AC26">
        <v>0.75</v>
      </c>
      <c r="AD26">
        <v>18.8</v>
      </c>
    </row>
    <row r="27" spans="1:31" x14ac:dyDescent="0.3">
      <c r="G27" t="s">
        <v>21</v>
      </c>
      <c r="H27" t="s">
        <v>9</v>
      </c>
      <c r="I27">
        <v>456</v>
      </c>
      <c r="J27" s="5">
        <f t="shared" si="5"/>
        <v>6.9174757281553395E-2</v>
      </c>
      <c r="K27" s="5">
        <f t="shared" si="2"/>
        <v>2.4669984851763686E-2</v>
      </c>
      <c r="M27" t="s">
        <v>10</v>
      </c>
      <c r="N27" t="s">
        <v>20</v>
      </c>
      <c r="O27">
        <v>23</v>
      </c>
      <c r="R27" t="s">
        <v>28</v>
      </c>
      <c r="S27" t="s">
        <v>15</v>
      </c>
      <c r="T27">
        <v>347</v>
      </c>
      <c r="U27">
        <v>4</v>
      </c>
      <c r="V27">
        <v>19.489999999999998</v>
      </c>
      <c r="Y27" t="s">
        <v>28</v>
      </c>
      <c r="Z27" t="s">
        <v>38</v>
      </c>
      <c r="AA27">
        <v>1736</v>
      </c>
      <c r="AB27">
        <v>60638</v>
      </c>
      <c r="AC27">
        <v>0.35</v>
      </c>
      <c r="AD27">
        <v>17.850000000000001</v>
      </c>
    </row>
    <row r="28" spans="1:31" x14ac:dyDescent="0.3">
      <c r="R28" t="s">
        <v>28</v>
      </c>
      <c r="S28" t="s">
        <v>9</v>
      </c>
      <c r="T28">
        <v>301</v>
      </c>
      <c r="U28">
        <v>5</v>
      </c>
      <c r="V28">
        <v>16.63</v>
      </c>
    </row>
    <row r="29" spans="1:31" x14ac:dyDescent="0.3">
      <c r="R29" t="s">
        <v>28</v>
      </c>
      <c r="S29" t="s">
        <v>14</v>
      </c>
      <c r="T29">
        <v>167</v>
      </c>
      <c r="U29">
        <v>6</v>
      </c>
      <c r="V29">
        <v>10.63</v>
      </c>
    </row>
  </sheetData>
  <autoFilter ref="M2:O2" xr:uid="{9414CF1F-09F5-45F4-B93B-E3A07C9DCCBD}">
    <sortState xmlns:xlrd2="http://schemas.microsoft.com/office/spreadsheetml/2017/richdata2" ref="M3:O27">
      <sortCondition ref="M2"/>
    </sortState>
  </autoFilter>
  <sortState xmlns:xlrd2="http://schemas.microsoft.com/office/spreadsheetml/2017/richdata2" ref="M3:O27">
    <sortCondition ref="M3:M27"/>
    <sortCondition descending="1" ref="O3:O27"/>
  </sortState>
  <conditionalFormatting sqref="T3:T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2E4E5F-63BD-459E-A584-AC3464198F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Verma</dc:creator>
  <cp:lastModifiedBy>Nishant Verma</cp:lastModifiedBy>
  <dcterms:created xsi:type="dcterms:W3CDTF">2025-10-01T14:08:19Z</dcterms:created>
  <dcterms:modified xsi:type="dcterms:W3CDTF">2025-11-24T09:22:55Z</dcterms:modified>
</cp:coreProperties>
</file>